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<sst xmlns="http://schemas.openxmlformats.org/spreadsheetml/2006/main" count="84" uniqueCount="84">
  <si>
    <t>SENSOR SUBSYSTEM PCB — ELECTRICAL POWER BUDGET &amp; DISSIPATION ANALYSIS</t>
  </si>
  <si>
    <t>System Rail: +5.0V DC (U1 L7805)   |   Primary Input: 9.0V – 12.0V DC (Vin)   |   Primary Protection: 500mA Fuse (F1)   |   Status: Validated</t>
  </si>
  <si>
    <t>MAX +5V RAIL CURRENT</t>
  </si>
  <si>
    <t>MAX +5V RAIL POWER</t>
  </si>
  <si>
    <t>MAX REGULATOR DISSIPATION</t>
  </si>
  <si>
    <t>PEAK VIN INPUT CURRENT</t>
  </si>
  <si>
    <t>TABLE 1: SUBSYSTEM POWER BUDGET (+5V REGULATED RAIL)</t>
  </si>
  <si>
    <t>Ref Des</t>
  </si>
  <si>
    <t>Component / Part Number</t>
  </si>
  <si>
    <t>Function / Circuit Node</t>
  </si>
  <si>
    <t>Supply Voltage (V)</t>
  </si>
  <si>
    <t>Typical Current (mA)</t>
  </si>
  <si>
    <t>Max Current (mA)</t>
  </si>
  <si>
    <t>Typical Power (mW)</t>
  </si>
  <si>
    <t>Max Power (mW)</t>
  </si>
  <si>
    <t>Notes / Operating Condition</t>
  </si>
  <si>
    <t>U2</t>
  </si>
  <si>
    <t>Microchip PIC18F57Q43 (DMG_PIC18F57Q1)</t>
  </si>
  <si>
    <t>8-Bit MCU (Core + ADC, I2C, UART)</t>
  </si>
  <si>
    <t>Internal HFINTOSC active; GPIO LED load counted separately in D1</t>
  </si>
  <si>
    <t>U3</t>
  </si>
  <si>
    <t>TI LM324N (DMG_LM324N1)</t>
  </si>
  <si>
    <t>Quad Op-Amp Signal Conditioning</t>
  </si>
  <si>
    <t>All 4 channels biased; driving high-impedance PIC ADC inputs</t>
  </si>
  <si>
    <t>U4</t>
  </si>
  <si>
    <t>Honeywell HIH6130-021-001 (DMG_HIH6130-021-1)</t>
  </si>
  <si>
    <t>Digital Humidity / Temp Sensor (I2C)</t>
  </si>
  <si>
    <t>650 uA active measurement conversion; 1 uA in sleep mode</t>
  </si>
  <si>
    <t>U5, U6</t>
  </si>
  <si>
    <t>Analog Devices TMP36GT9Z (x2) + R1 (10k)</t>
  </si>
  <si>
    <t>Analog Temp Sensors (DMG_TMP36GT9Z1/2)</t>
  </si>
  <si>
    <t>50 uA quiescent per sensor (x2) + 0.10 mA load through R1 (10k)</t>
  </si>
  <si>
    <t>R_LDR1, R2</t>
  </si>
  <si>
    <t>Luna PDV-P8103 (DMG_PDV-P1) + R2 (10k)</t>
  </si>
  <si>
    <t>Photoresistor Voltage Divider (LIGHT_IN)</t>
  </si>
  <si>
    <t>Typical indoor light (~15k LDR + 10k R2); Max in bright light (5 V / 10 kOhm)</t>
  </si>
  <si>
    <t>R5, R6</t>
  </si>
  <si>
    <t>2.2k 1/4W Pull-Up Resistors (x2)</t>
  </si>
  <si>
    <t>I2C Bus Pull-Ups (I2C_SCL, I2C_SDA)</t>
  </si>
  <si>
    <t>2.27 mA per line when pulled low (5 V / 2.2 kOhm); ~25% active duty cycle</t>
  </si>
  <si>
    <t>SW1, R7</t>
  </si>
  <si>
    <t>Tactile Push Button + 10k 1/4W Pull-Up</t>
  </si>
  <si>
    <t>User Input &amp; Hardware Debounce (BTN1_RC4)</t>
  </si>
  <si>
    <t>0 mA unpressed; 0.50 mA peak when button is held down (5 V / 10 kOhm)</t>
  </si>
  <si>
    <t>D1, R8</t>
  </si>
  <si>
    <t>Green Debug LED + 330R 1/4W Resistor</t>
  </si>
  <si>
    <t>Status Indicator (DBG_LED on RC2)</t>
  </si>
  <si>
    <t>Assumes VF = 2.0 V LED drop: (5.0 V - 2.0 V) / 330 Ohm = 9.09 mA</t>
  </si>
  <si>
    <t>C1-C7</t>
  </si>
  <si>
    <t>Ceramic Decoupling / Filter Capacitors</t>
  </si>
  <si>
    <t>Rail Bypass &amp; Signal Filtering</t>
  </si>
  <si>
    <t>Negligible DC leakage current at steady state</t>
  </si>
  <si>
    <t>TOTAL (+5V)</t>
  </si>
  <si>
    <t>All +5V Rail Loads Combined</t>
  </si>
  <si>
    <t>Regulated +5V Bus (U1 Output)</t>
  </si>
  <si>
    <t>Total load drawn from L7805 output pin 3</t>
  </si>
  <si>
    <t>TABLE 2: PRIMARY INPUT (VIN), REGULATOR DISSIPATION &amp; FUSE MARGIN</t>
  </si>
  <si>
    <t>Parameter</t>
  </si>
  <si>
    <t>Formula / Source</t>
  </si>
  <si>
    <t>Typical Value (at 9V Vin)</t>
  </si>
  <si>
    <t>Max Value (at 9V Vin)</t>
  </si>
  <si>
    <t>Max Value (at 12V Vin)</t>
  </si>
  <si>
    <t>Limit / Rating</t>
  </si>
  <si>
    <t>Safety Margin</t>
  </si>
  <si>
    <t>+5V Load Current (I_load)</t>
  </si>
  <si>
    <t>Sum of +5V branch currents</t>
  </si>
  <si>
    <t>1000 mA (L7805 max)</t>
  </si>
  <si>
    <t>96.5% margin</t>
  </si>
  <si>
    <t>U1 (L7805) Quiescent Current (I_Q)</t>
  </si>
  <si>
    <t>L7805 datasheet ground pin current</t>
  </si>
  <si>
    <t>8.0 mA max spec</t>
  </si>
  <si>
    <t>Normal operating range</t>
  </si>
  <si>
    <t>Total Input Current (I_in)</t>
  </si>
  <si>
    <t>I_in = I_load + I_Q</t>
  </si>
  <si>
    <t>500 mA (F1 Fuse)</t>
  </si>
  <si>
    <t>12.2x below fuse rating</t>
  </si>
  <si>
    <t>Regulator Power Dissipation (P_reg)</t>
  </si>
  <si>
    <t>(V_in - 5 V) * I_load + V_in * I_Q</t>
  </si>
  <si>
    <t>~1500 mW (TO-220 no heatsink)</t>
  </si>
  <si>
    <t>Cool operation (no heatsink required)</t>
  </si>
  <si>
    <t>Total Board Input Power (P_in, total)</t>
  </si>
  <si>
    <t>V_in * I_in</t>
  </si>
  <si>
    <t>4500 mW (500mA at 9V)</t>
  </si>
  <si>
    <t>91.8% power margin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</si>
</sst>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 &quot;mA&quot;"/>
    <numFmt numFmtId="165" formatCode="0.00 &quot;mW&quot;"/>
    <numFmt numFmtId="166" formatCode="0.0"/>
  </numFmts>
  <fonts count="12">
    <font>
      <sz val="10.0"/>
      <color rgb="FF000000"/>
      <name val="Arial"/>
      <scheme val="minor"/>
    </font>
    <font>
      <b/>
      <sz val="13.0"/>
      <color rgb="FF1C4875"/>
      <name val="Montserrat"/>
    </font>
    <font>
      <sz val="9.0"/>
      <color rgb="FF43474E"/>
      <name val="Roboto"/>
    </font>
    <font>
      <b/>
      <sz val="8.0"/>
      <color rgb="FF1C4875"/>
      <name val="Montserrat"/>
    </font>
    <font/>
    <font>
      <b/>
      <sz val="18.0"/>
      <color rgb="FF191C20"/>
      <name val="Montserrat"/>
    </font>
    <font>
      <b/>
      <sz val="11.0"/>
      <color rgb="FF1C4875"/>
      <name val="Montserrat"/>
    </font>
    <font>
      <b/>
      <sz val="10.0"/>
      <color rgb="FFFFFFFF"/>
      <name val="Montserrat"/>
    </font>
    <font>
      <sz val="10.0"/>
      <color rgb="FF191C20"/>
      <name val="Roboto"/>
    </font>
    <font>
      <b/>
      <sz val="10.0"/>
      <color rgb="FF191C20"/>
      <name val="Roboto"/>
    </font>
    <font>
      <b/>
      <sz val="10.0"/>
      <color theme="1"/>
      <name val="Roboto"/>
    </font>
    <font>
      <i/>
      <sz val="9.0"/>
      <color rgb="FF43474E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F8F9FF"/>
        <bgColor rgb="FFF8F9FF"/>
      </patternFill>
    </fill>
    <fill>
      <patternFill patternType="solid">
        <fgColor rgb="FFD2E4FF"/>
        <bgColor rgb="FFD2E4FF"/>
      </patternFill>
    </fill>
    <fill>
      <patternFill patternType="solid">
        <fgColor rgb="FF38608F"/>
        <bgColor rgb="FF38608F"/>
      </patternFill>
    </fill>
    <fill>
      <patternFill patternType="solid">
        <fgColor rgb="FFFFFFFF"/>
        <bgColor rgb="FFFFFFFF"/>
      </patternFill>
    </fill>
    <fill>
      <patternFill patternType="solid">
        <fgColor rgb="FFEEEDF4"/>
        <bgColor rgb="FFEEEDF4"/>
      </patternFill>
    </fill>
  </fills>
  <borders count="24">
    <border/>
    <border>
      <left style="thin">
        <color rgb="FFD2E4FF"/>
      </left>
      <top style="thin">
        <color rgb="FFD2E4FF"/>
      </top>
      <bottom style="thin">
        <color rgb="FFD2E4FF"/>
      </bottom>
    </border>
    <border>
      <right style="thin">
        <color rgb="FFD2E4FF"/>
      </right>
      <top style="thin">
        <color rgb="FFD2E4FF"/>
      </top>
      <bottom style="thin">
        <color rgb="FFD2E4FF"/>
      </bottom>
    </border>
    <border>
      <left style="thin">
        <color rgb="FF73777F"/>
      </left>
      <top style="thin">
        <color rgb="FF73777F"/>
      </top>
      <bottom style="thin">
        <color rgb="FF73777F"/>
      </bottom>
    </border>
    <border>
      <top style="thin">
        <color rgb="FF73777F"/>
      </top>
      <bottom style="thin">
        <color rgb="FF73777F"/>
      </bottom>
    </border>
    <border>
      <right style="thin">
        <color rgb="FF73777F"/>
      </right>
      <top style="thin">
        <color rgb="FF73777F"/>
      </top>
      <bottom style="thin">
        <color rgb="FF73777F"/>
      </bottom>
    </border>
    <border>
      <left style="thin">
        <color rgb="FF73777F"/>
      </left>
      <bottom style="medium">
        <color rgb="FF73777F"/>
      </bottom>
    </border>
    <border>
      <bottom style="medium">
        <color rgb="FF73777F"/>
      </bottom>
    </border>
    <border>
      <right style="thin">
        <color rgb="FF73777F"/>
      </right>
      <bottom style="medium">
        <color rgb="FF73777F"/>
      </bottom>
    </border>
    <border>
      <left style="thin">
        <color rgb="FF73777F"/>
      </left>
      <right style="thin">
        <color rgb="FFEEF0F5"/>
      </right>
      <bottom style="thin">
        <color rgb="FFE0E2EC"/>
      </bottom>
    </border>
    <border>
      <left style="thin">
        <color rgb="FFEEF0F5"/>
      </left>
      <right style="thin">
        <color rgb="FFEEF0F5"/>
      </right>
      <bottom style="thin">
        <color rgb="FFE0E2EC"/>
      </bottom>
    </border>
    <border>
      <left style="thin">
        <color rgb="FFEEF0F5"/>
      </left>
      <right style="thin">
        <color rgb="FF73777F"/>
      </right>
      <bottom style="thin">
        <color rgb="FFE0E2EC"/>
      </bottom>
    </border>
    <border>
      <left style="thin">
        <color rgb="FF73777F"/>
      </left>
      <right style="thin">
        <color rgb="FFEEF0F5"/>
      </right>
      <top style="thin">
        <color rgb="FFE0E2EC"/>
      </top>
      <bottom style="thin">
        <color rgb="FFE0E2EC"/>
      </bottom>
    </border>
    <border>
      <left style="thin">
        <color rgb="FFEEF0F5"/>
      </left>
      <right style="thin">
        <color rgb="FFEEF0F5"/>
      </right>
      <top style="thin">
        <color rgb="FFE0E2EC"/>
      </top>
      <bottom style="thin">
        <color rgb="FFE0E2EC"/>
      </bottom>
    </border>
    <border>
      <left style="thin">
        <color rgb="FFEEF0F5"/>
      </left>
      <right style="thin">
        <color rgb="FF73777F"/>
      </right>
      <top style="thin">
        <color rgb="FFE0E2EC"/>
      </top>
      <bottom style="thin">
        <color rgb="FFE0E2EC"/>
      </bottom>
    </border>
    <border>
      <left style="thin">
        <color rgb="FF73777F"/>
      </left>
      <right style="thin">
        <color rgb="FFEEF0F5"/>
      </right>
      <top style="thin">
        <color rgb="FFE0E2EC"/>
      </top>
    </border>
    <border>
      <left style="thin">
        <color rgb="FFEEF0F5"/>
      </left>
      <right style="thin">
        <color rgb="FFEEF0F5"/>
      </right>
      <top style="thin">
        <color rgb="FFE0E2EC"/>
      </top>
    </border>
    <border>
      <left style="thin">
        <color rgb="FFEEF0F5"/>
      </left>
      <right style="thin">
        <color rgb="FF73777F"/>
      </right>
      <top style="thin">
        <color rgb="FFE0E2EC"/>
      </top>
    </border>
    <border>
      <left style="thin">
        <color rgb="FF73777F"/>
      </left>
      <top style="medium">
        <color rgb="FF73777F"/>
      </top>
      <bottom style="medium">
        <color rgb="FF73777F"/>
      </bottom>
    </border>
    <border>
      <top style="medium">
        <color rgb="FF73777F"/>
      </top>
      <bottom style="medium">
        <color rgb="FF73777F"/>
      </bottom>
    </border>
    <border>
      <right style="thin">
        <color rgb="FF73777F"/>
      </right>
      <top style="medium">
        <color rgb="FF73777F"/>
      </top>
      <bottom style="medium">
        <color rgb="FF73777F"/>
      </bottom>
    </border>
    <border>
      <left style="thin">
        <color rgb="FF73777F"/>
      </left>
      <right style="thin">
        <color rgb="FFEEF0F5"/>
      </right>
      <top style="thin">
        <color rgb="FFE0E2EC"/>
      </top>
      <bottom style="medium">
        <color rgb="FF73777F"/>
      </bottom>
    </border>
    <border>
      <left style="thin">
        <color rgb="FFEEF0F5"/>
      </left>
      <right style="thin">
        <color rgb="FFEEF0F5"/>
      </right>
      <top style="thin">
        <color rgb="FFE0E2EC"/>
      </top>
      <bottom style="medium">
        <color rgb="FF73777F"/>
      </bottom>
    </border>
    <border>
      <left style="thin">
        <color rgb="FFEEF0F5"/>
      </left>
      <right style="thin">
        <color rgb="FF73777F"/>
      </right>
      <top style="thin">
        <color rgb="FFE0E2EC"/>
      </top>
      <bottom style="medium">
        <color rgb="FF73777F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center"/>
    </xf>
    <xf borderId="0" fillId="0" fontId="2" numFmtId="0" xfId="0" applyAlignment="1" applyFont="1">
      <alignment horizontal="left" readingOrder="0" vertical="center"/>
    </xf>
    <xf borderId="1" fillId="2" fontId="3" numFmtId="0" xfId="0" applyAlignment="1" applyBorder="1" applyFill="1" applyFont="1">
      <alignment horizontal="center" readingOrder="0" vertical="center"/>
    </xf>
    <xf borderId="2" fillId="0" fontId="4" numFmtId="0" xfId="0" applyBorder="1" applyFont="1"/>
    <xf borderId="1" fillId="2" fontId="5" numFmtId="164" xfId="0" applyAlignment="1" applyBorder="1" applyFill="1" applyFont="1" applyNumberFormat="1">
      <alignment horizontal="center" vertical="center"/>
    </xf>
    <xf borderId="1" fillId="2" fontId="5" numFmtId="165" xfId="0" applyAlignment="1" applyBorder="1" applyFill="1" applyFont="1" applyNumberFormat="1">
      <alignment horizontal="center" vertical="center"/>
    </xf>
    <xf borderId="3" fillId="3" fontId="6" numFmtId="0" xfId="0" applyAlignment="1" applyBorder="1" applyFill="1" applyFont="1">
      <alignment horizontal="left" readingOrder="0" vertical="center"/>
    </xf>
    <xf borderId="4" fillId="0" fontId="4" numFmtId="0" xfId="0" applyBorder="1" applyFont="1"/>
    <xf borderId="5" fillId="0" fontId="4" numFmtId="0" xfId="0" applyBorder="1" applyFont="1"/>
    <xf borderId="6" fillId="4" fontId="7" numFmtId="0" xfId="0" applyAlignment="1" applyBorder="1" applyFill="1" applyFont="1">
      <alignment horizontal="center" readingOrder="0" shrinkToFit="0" vertical="center" wrapText="1"/>
    </xf>
    <xf borderId="7" fillId="4" fontId="7" numFmtId="0" xfId="0" applyAlignment="1" applyBorder="1" applyFill="1" applyFont="1">
      <alignment horizontal="left" readingOrder="0" shrinkToFit="0" vertical="center" wrapText="1"/>
    </xf>
    <xf borderId="7" fillId="4" fontId="7" numFmtId="0" xfId="0" applyAlignment="1" applyBorder="1" applyFill="1" applyFont="1">
      <alignment horizontal="right" readingOrder="0" shrinkToFit="0" vertical="center" wrapText="1"/>
    </xf>
    <xf borderId="8" fillId="4" fontId="7" numFmtId="0" xfId="0" applyAlignment="1" applyBorder="1" applyFill="1" applyFont="1">
      <alignment horizontal="left" readingOrder="0" shrinkToFit="0" vertical="center" wrapText="1"/>
    </xf>
    <xf borderId="9" fillId="2" fontId="8" numFmtId="0" xfId="0" applyAlignment="1" applyBorder="1" applyFill="1" applyFont="1">
      <alignment horizontal="center" readingOrder="0" vertical="center"/>
    </xf>
    <xf borderId="10" fillId="2" fontId="8" numFmtId="0" xfId="0" applyAlignment="1" applyBorder="1" applyFill="1" applyFont="1">
      <alignment horizontal="left" readingOrder="0" vertical="center"/>
    </xf>
    <xf borderId="10" fillId="2" fontId="8" numFmtId="166" xfId="0" applyAlignment="1" applyBorder="1" applyFill="1" applyFont="1" applyNumberFormat="1">
      <alignment horizontal="right" readingOrder="0" vertical="center"/>
    </xf>
    <xf borderId="10" fillId="2" fontId="8" numFmtId="2" xfId="0" applyAlignment="1" applyBorder="1" applyFill="1" applyFont="1" applyNumberFormat="1">
      <alignment horizontal="right" readingOrder="0" vertical="center"/>
    </xf>
    <xf borderId="10" fillId="2" fontId="8" numFmtId="2" xfId="0" applyAlignment="1" applyBorder="1" applyFill="1" applyFont="1" applyNumberFormat="1">
      <alignment horizontal="right" vertical="center"/>
    </xf>
    <xf borderId="11" fillId="2" fontId="8" numFmtId="0" xfId="0" applyAlignment="1" applyBorder="1" applyFill="1" applyFont="1">
      <alignment horizontal="left" readingOrder="0" shrinkToFit="0" vertical="center" wrapText="1"/>
    </xf>
    <xf borderId="12" fillId="5" fontId="8" numFmtId="0" xfId="0" applyAlignment="1" applyBorder="1" applyFill="1" applyFont="1">
      <alignment horizontal="center" readingOrder="0" vertical="center"/>
    </xf>
    <xf borderId="13" fillId="5" fontId="8" numFmtId="0" xfId="0" applyAlignment="1" applyBorder="1" applyFill="1" applyFont="1">
      <alignment horizontal="left" readingOrder="0" vertical="center"/>
    </xf>
    <xf borderId="13" fillId="5" fontId="8" numFmtId="166" xfId="0" applyAlignment="1" applyBorder="1" applyFill="1" applyFont="1" applyNumberFormat="1">
      <alignment horizontal="right" readingOrder="0" vertical="center"/>
    </xf>
    <xf borderId="13" fillId="5" fontId="8" numFmtId="2" xfId="0" applyAlignment="1" applyBorder="1" applyFill="1" applyFont="1" applyNumberFormat="1">
      <alignment horizontal="right" readingOrder="0" vertical="center"/>
    </xf>
    <xf borderId="13" fillId="5" fontId="8" numFmtId="2" xfId="0" applyAlignment="1" applyBorder="1" applyFill="1" applyFont="1" applyNumberFormat="1">
      <alignment horizontal="right" vertical="center"/>
    </xf>
    <xf borderId="14" fillId="5" fontId="8" numFmtId="0" xfId="0" applyAlignment="1" applyBorder="1" applyFill="1" applyFont="1">
      <alignment horizontal="left" readingOrder="0" shrinkToFit="0" vertical="center" wrapText="1"/>
    </xf>
    <xf borderId="12" fillId="2" fontId="8" numFmtId="0" xfId="0" applyAlignment="1" applyBorder="1" applyFill="1" applyFont="1">
      <alignment horizontal="center" readingOrder="0" vertical="center"/>
    </xf>
    <xf borderId="13" fillId="2" fontId="8" numFmtId="0" xfId="0" applyAlignment="1" applyBorder="1" applyFill="1" applyFont="1">
      <alignment horizontal="left" readingOrder="0" vertical="center"/>
    </xf>
    <xf borderId="13" fillId="2" fontId="8" numFmtId="166" xfId="0" applyAlignment="1" applyBorder="1" applyFill="1" applyFont="1" applyNumberFormat="1">
      <alignment horizontal="right" readingOrder="0" vertical="center"/>
    </xf>
    <xf borderId="13" fillId="2" fontId="8" numFmtId="2" xfId="0" applyAlignment="1" applyBorder="1" applyFill="1" applyFont="1" applyNumberFormat="1">
      <alignment horizontal="right" readingOrder="0" vertical="center"/>
    </xf>
    <xf borderId="13" fillId="2" fontId="8" numFmtId="2" xfId="0" applyAlignment="1" applyBorder="1" applyFill="1" applyFont="1" applyNumberFormat="1">
      <alignment horizontal="right" vertical="center"/>
    </xf>
    <xf borderId="14" fillId="2" fontId="8" numFmtId="0" xfId="0" applyAlignment="1" applyBorder="1" applyFill="1" applyFont="1">
      <alignment horizontal="left" readingOrder="0" shrinkToFit="0" vertical="center" wrapText="1"/>
    </xf>
    <xf borderId="15" fillId="2" fontId="8" numFmtId="0" xfId="0" applyAlignment="1" applyBorder="1" applyFill="1" applyFont="1">
      <alignment horizontal="center" readingOrder="0" vertical="center"/>
    </xf>
    <xf borderId="16" fillId="2" fontId="8" numFmtId="0" xfId="0" applyAlignment="1" applyBorder="1" applyFill="1" applyFont="1">
      <alignment horizontal="left" readingOrder="0" vertical="center"/>
    </xf>
    <xf borderId="16" fillId="2" fontId="8" numFmtId="166" xfId="0" applyAlignment="1" applyBorder="1" applyFill="1" applyFont="1" applyNumberFormat="1">
      <alignment horizontal="right" readingOrder="0" vertical="center"/>
    </xf>
    <xf borderId="16" fillId="2" fontId="8" numFmtId="2" xfId="0" applyAlignment="1" applyBorder="1" applyFill="1" applyFont="1" applyNumberFormat="1">
      <alignment horizontal="right" readingOrder="0" vertical="center"/>
    </xf>
    <xf borderId="16" fillId="2" fontId="8" numFmtId="2" xfId="0" applyAlignment="1" applyBorder="1" applyFill="1" applyFont="1" applyNumberFormat="1">
      <alignment horizontal="right" vertical="center"/>
    </xf>
    <xf borderId="17" fillId="2" fontId="8" numFmtId="0" xfId="0" applyAlignment="1" applyBorder="1" applyFill="1" applyFont="1">
      <alignment horizontal="left" readingOrder="0" shrinkToFit="0" vertical="center" wrapText="1"/>
    </xf>
    <xf borderId="18" fillId="6" fontId="9" numFmtId="0" xfId="0" applyAlignment="1" applyBorder="1" applyFill="1" applyFont="1">
      <alignment horizontal="center" readingOrder="0" vertical="center"/>
    </xf>
    <xf borderId="19" fillId="6" fontId="9" numFmtId="0" xfId="0" applyAlignment="1" applyBorder="1" applyFill="1" applyFont="1">
      <alignment horizontal="left" readingOrder="0" vertical="center"/>
    </xf>
    <xf borderId="19" fillId="6" fontId="9" numFmtId="166" xfId="0" applyAlignment="1" applyBorder="1" applyFill="1" applyFont="1" applyNumberFormat="1">
      <alignment horizontal="right" readingOrder="0" vertical="center"/>
    </xf>
    <xf borderId="19" fillId="6" fontId="9" numFmtId="164" xfId="0" applyAlignment="1" applyBorder="1" applyFill="1" applyFont="1" applyNumberFormat="1">
      <alignment horizontal="right" vertical="center"/>
    </xf>
    <xf borderId="19" fillId="6" fontId="9" numFmtId="165" xfId="0" applyAlignment="1" applyBorder="1" applyFill="1" applyFont="1" applyNumberFormat="1">
      <alignment horizontal="right" vertical="center"/>
    </xf>
    <xf borderId="20" fillId="6" fontId="9" numFmtId="0" xfId="0" applyAlignment="1" applyBorder="1" applyFill="1" applyFont="1">
      <alignment horizontal="left" readingOrder="0" shrinkToFit="0" vertical="center" wrapText="1"/>
    </xf>
    <xf borderId="6" fillId="4" fontId="7" numFmtId="0" xfId="0" applyAlignment="1" applyBorder="1" applyFill="1" applyFont="1">
      <alignment horizontal="left" readingOrder="0" shrinkToFit="0" vertical="center" wrapText="1"/>
    </xf>
    <xf borderId="8" fillId="4" fontId="7" numFmtId="0" xfId="0" applyAlignment="1" applyBorder="1" applyFill="1" applyFont="1">
      <alignment horizontal="center" readingOrder="0" shrinkToFit="0" vertical="center" wrapText="1"/>
    </xf>
    <xf quotePrefix="1" borderId="9" fillId="2" fontId="10" numFmtId="0" xfId="0" applyAlignment="1" applyBorder="1" applyFill="1" applyFont="1">
      <alignment horizontal="left" readingOrder="0" shrinkToFit="0" vertical="center" wrapText="1"/>
    </xf>
    <xf borderId="10" fillId="2" fontId="11" numFmtId="0" xfId="0" applyAlignment="1" applyBorder="1" applyFill="1" applyFont="1">
      <alignment horizontal="left" readingOrder="0" shrinkToFit="0" vertical="center" wrapText="1"/>
    </xf>
    <xf borderId="10" fillId="2" fontId="8" numFmtId="164" xfId="0" applyAlignment="1" applyBorder="1" applyFill="1" applyFont="1" applyNumberFormat="1">
      <alignment horizontal="right" shrinkToFit="0" vertical="center" wrapText="1"/>
    </xf>
    <xf borderId="10" fillId="2" fontId="8" numFmtId="0" xfId="0" applyAlignment="1" applyBorder="1" applyFill="1" applyFont="1">
      <alignment horizontal="right" readingOrder="0" shrinkToFit="0" vertical="center" wrapText="1"/>
    </xf>
    <xf borderId="11" fillId="2" fontId="8" numFmtId="0" xfId="0" applyAlignment="1" applyBorder="1" applyFill="1" applyFont="1">
      <alignment horizontal="center" readingOrder="0" shrinkToFit="0" vertical="center" wrapText="1"/>
    </xf>
    <xf borderId="12" fillId="5" fontId="10" numFmtId="0" xfId="0" applyAlignment="1" applyBorder="1" applyFill="1" applyFont="1">
      <alignment horizontal="left" readingOrder="0" shrinkToFit="0" vertical="center" wrapText="1"/>
    </xf>
    <xf borderId="13" fillId="5" fontId="11" numFmtId="0" xfId="0" applyAlignment="1" applyBorder="1" applyFill="1" applyFont="1">
      <alignment horizontal="left" readingOrder="0" shrinkToFit="0" vertical="center" wrapText="1"/>
    </xf>
    <xf borderId="13" fillId="5" fontId="8" numFmtId="164" xfId="0" applyAlignment="1" applyBorder="1" applyFill="1" applyFont="1" applyNumberFormat="1">
      <alignment horizontal="right" readingOrder="0" shrinkToFit="0" vertical="center" wrapText="1"/>
    </xf>
    <xf borderId="13" fillId="5" fontId="8" numFmtId="0" xfId="0" applyAlignment="1" applyBorder="1" applyFill="1" applyFont="1">
      <alignment horizontal="right" readingOrder="0" shrinkToFit="0" vertical="center" wrapText="1"/>
    </xf>
    <xf borderId="14" fillId="5" fontId="8" numFmtId="0" xfId="0" applyAlignment="1" applyBorder="1" applyFill="1" applyFont="1">
      <alignment horizontal="center" readingOrder="0" shrinkToFit="0" vertical="center" wrapText="1"/>
    </xf>
    <xf borderId="12" fillId="2" fontId="10" numFmtId="0" xfId="0" applyAlignment="1" applyBorder="1" applyFill="1" applyFont="1">
      <alignment horizontal="left" readingOrder="0" shrinkToFit="0" vertical="center" wrapText="1"/>
    </xf>
    <xf borderId="13" fillId="2" fontId="11" numFmtId="0" xfId="0" applyAlignment="1" applyBorder="1" applyFill="1" applyFont="1">
      <alignment horizontal="left" readingOrder="0" shrinkToFit="0" vertical="center" wrapText="1"/>
    </xf>
    <xf borderId="13" fillId="2" fontId="8" numFmtId="164" xfId="0" applyAlignment="1" applyBorder="1" applyFill="1" applyFont="1" applyNumberFormat="1">
      <alignment horizontal="right" shrinkToFit="0" vertical="center" wrapText="1"/>
    </xf>
    <xf borderId="13" fillId="2" fontId="8" numFmtId="0" xfId="0" applyAlignment="1" applyBorder="1" applyFill="1" applyFont="1">
      <alignment horizontal="right" readingOrder="0" shrinkToFit="0" vertical="center" wrapText="1"/>
    </xf>
    <xf borderId="14" fillId="2" fontId="8" numFmtId="0" xfId="0" applyAlignment="1" applyBorder="1" applyFill="1" applyFont="1">
      <alignment horizontal="center" readingOrder="0" shrinkToFit="0" vertical="center" wrapText="1"/>
    </xf>
    <xf borderId="13" fillId="5" fontId="8" numFmtId="165" xfId="0" applyAlignment="1" applyBorder="1" applyFill="1" applyFont="1" applyNumberFormat="1">
      <alignment horizontal="right" shrinkToFit="0" vertical="center" wrapText="1"/>
    </xf>
    <xf borderId="13" fillId="5" fontId="8" numFmtId="165" xfId="0" applyAlignment="1" applyBorder="1" applyFill="1" applyFont="1" applyNumberFormat="1">
      <alignment horizontal="right" readingOrder="0" shrinkToFit="0" vertical="center" wrapText="1"/>
    </xf>
    <xf borderId="21" fillId="2" fontId="10" numFmtId="0" xfId="0" applyAlignment="1" applyBorder="1" applyFill="1" applyFont="1">
      <alignment horizontal="left" readingOrder="0" shrinkToFit="0" vertical="center" wrapText="1"/>
    </xf>
    <xf borderId="22" fillId="2" fontId="11" numFmtId="0" xfId="0" applyAlignment="1" applyBorder="1" applyFill="1" applyFont="1">
      <alignment horizontal="left" readingOrder="0" shrinkToFit="0" vertical="center" wrapText="1"/>
    </xf>
    <xf borderId="22" fillId="2" fontId="8" numFmtId="165" xfId="0" applyAlignment="1" applyBorder="1" applyFill="1" applyFont="1" applyNumberFormat="1">
      <alignment horizontal="right" shrinkToFit="0" vertical="center" wrapText="1"/>
    </xf>
    <xf borderId="22" fillId="2" fontId="8" numFmtId="0" xfId="0" applyAlignment="1" applyBorder="1" applyFill="1" applyFont="1">
      <alignment horizontal="right" readingOrder="0" shrinkToFit="0" vertical="center" wrapText="1"/>
    </xf>
    <xf borderId="23" fillId="2" fontId="8" numFmtId="0" xfId="0" applyAlignment="1" applyBorder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27.63"/>
    <col customWidth="1" min="3" max="3" width="40.13"/>
    <col customWidth="1" min="4" max="4" width="34.5"/>
    <col customWidth="1" min="5" max="5" width="15.75"/>
    <col customWidth="1" min="6" max="6" width="17.0"/>
    <col customWidth="1" min="7" max="7" width="27.0"/>
    <col customWidth="1" min="8" max="8" width="32.0"/>
    <col customWidth="1" min="9" max="9" width="15.75"/>
    <col customWidth="1" min="10" max="10" width="55.13"/>
  </cols>
  <sheetData>
    <row r="1" ht="13.5" customHeight="1"/>
    <row r="2" ht="25.5" customHeight="1">
      <c r="B2" s="1" t="s">
        <v>0</v>
      </c>
    </row>
    <row r="3" ht="18.0" customHeight="1">
      <c r="B3" s="2" t="s">
        <v>1</v>
      </c>
    </row>
    <row r="4" ht="9.0" customHeight="1"/>
    <row r="5" ht="16.5" customHeight="1">
      <c r="B5" s="3" t="s">
        <v>2</v>
      </c>
      <c r="C5" s="4"/>
      <c r="D5" s="3" t="s">
        <v>3</v>
      </c>
      <c r="E5" s="4"/>
      <c r="F5" s="3" t="s">
        <v>4</v>
      </c>
      <c r="G5" s="4"/>
      <c r="H5" s="3" t="s">
        <v>5</v>
      </c>
      <c r="I5" s="4"/>
    </row>
    <row r="6" ht="28.5" customHeight="1">
      <c r="B6" s="5">
        <f>G19</f>
        <v>34.86</v>
      </c>
      <c r="C6" s="4"/>
      <c r="D6" s="6">
        <f>I19</f>
        <v>174.3</v>
      </c>
      <c r="E6" s="4"/>
      <c r="F6" s="6">
        <f>F26</f>
        <v>315.98</v>
      </c>
      <c r="G6" s="4"/>
      <c r="H6" s="5">
        <f>E25</f>
        <v>40.86</v>
      </c>
      <c r="I6" s="4"/>
    </row>
    <row r="7" ht="11.25" customHeight="1"/>
    <row r="8" ht="21.0" customHeight="1">
      <c r="B8" s="7" t="s">
        <v>6</v>
      </c>
      <c r="C8" s="8"/>
      <c r="D8" s="8"/>
      <c r="E8" s="8"/>
      <c r="F8" s="8"/>
      <c r="G8" s="8"/>
      <c r="H8" s="8"/>
      <c r="I8" s="8"/>
      <c r="J8" s="9"/>
    </row>
    <row r="9" ht="27.0" customHeight="1">
      <c r="B9" s="10" t="s">
        <v>7</v>
      </c>
      <c r="C9" s="11" t="s">
        <v>8</v>
      </c>
      <c r="D9" s="11" t="s">
        <v>9</v>
      </c>
      <c r="E9" s="12" t="s">
        <v>10</v>
      </c>
      <c r="F9" s="12" t="s">
        <v>11</v>
      </c>
      <c r="G9" s="12" t="s">
        <v>12</v>
      </c>
      <c r="H9" s="12" t="s">
        <v>13</v>
      </c>
      <c r="I9" s="12" t="s">
        <v>14</v>
      </c>
      <c r="J9" s="13" t="s">
        <v>15</v>
      </c>
    </row>
    <row r="10" ht="22.5" customHeight="1">
      <c r="B10" s="14" t="s">
        <v>16</v>
      </c>
      <c r="C10" s="15" t="s">
        <v>17</v>
      </c>
      <c r="D10" s="15" t="s">
        <v>18</v>
      </c>
      <c r="E10" s="16">
        <v>5.0</v>
      </c>
      <c r="F10" s="17">
        <v>8.0</v>
      </c>
      <c r="G10" s="17">
        <v>16.0</v>
      </c>
      <c r="H10" s="18">
        <f t="shared" ref="H10:H18" si="1">E10*F10</f>
        <v>40</v>
      </c>
      <c r="I10" s="18">
        <f t="shared" ref="I10:I18" si="2">E10*G10</f>
        <v>80</v>
      </c>
      <c r="J10" s="19" t="s">
        <v>19</v>
      </c>
    </row>
    <row r="11" ht="22.5" customHeight="1">
      <c r="B11" s="20" t="s">
        <v>20</v>
      </c>
      <c r="C11" s="21" t="s">
        <v>21</v>
      </c>
      <c r="D11" s="21" t="s">
        <v>22</v>
      </c>
      <c r="E11" s="22">
        <v>5.0</v>
      </c>
      <c r="F11" s="23">
        <v>1.0</v>
      </c>
      <c r="G11" s="23">
        <v>2.0</v>
      </c>
      <c r="H11" s="24">
        <f t="shared" si="1"/>
        <v>5</v>
      </c>
      <c r="I11" s="24">
        <f t="shared" si="2"/>
        <v>10</v>
      </c>
      <c r="J11" s="25" t="s">
        <v>23</v>
      </c>
    </row>
    <row r="12" ht="22.5" customHeight="1">
      <c r="B12" s="26" t="s">
        <v>24</v>
      </c>
      <c r="C12" s="27" t="s">
        <v>25</v>
      </c>
      <c r="D12" s="27" t="s">
        <v>26</v>
      </c>
      <c r="E12" s="28">
        <v>5.0</v>
      </c>
      <c r="F12" s="29">
        <v>0.65</v>
      </c>
      <c r="G12" s="29">
        <v>1.0</v>
      </c>
      <c r="H12" s="30">
        <f t="shared" si="1"/>
        <v>3.25</v>
      </c>
      <c r="I12" s="30">
        <f t="shared" si="2"/>
        <v>5</v>
      </c>
      <c r="J12" s="31" t="s">
        <v>27</v>
      </c>
    </row>
    <row r="13" ht="22.5" customHeight="1">
      <c r="B13" s="20" t="s">
        <v>28</v>
      </c>
      <c r="C13" s="21" t="s">
        <v>29</v>
      </c>
      <c r="D13" s="21" t="s">
        <v>30</v>
      </c>
      <c r="E13" s="22">
        <v>5.0</v>
      </c>
      <c r="F13" s="23">
        <v>0.2</v>
      </c>
      <c r="G13" s="23">
        <v>0.3</v>
      </c>
      <c r="H13" s="24">
        <f t="shared" si="1"/>
        <v>1</v>
      </c>
      <c r="I13" s="24">
        <f t="shared" si="2"/>
        <v>1.5</v>
      </c>
      <c r="J13" s="25" t="s">
        <v>31</v>
      </c>
    </row>
    <row r="14" ht="22.5" customHeight="1">
      <c r="B14" s="26" t="s">
        <v>32</v>
      </c>
      <c r="C14" s="27" t="s">
        <v>33</v>
      </c>
      <c r="D14" s="27" t="s">
        <v>34</v>
      </c>
      <c r="E14" s="28">
        <v>5.0</v>
      </c>
      <c r="F14" s="29">
        <v>0.2</v>
      </c>
      <c r="G14" s="29">
        <v>0.5</v>
      </c>
      <c r="H14" s="30">
        <f t="shared" si="1"/>
        <v>1</v>
      </c>
      <c r="I14" s="30">
        <f t="shared" si="2"/>
        <v>2.5</v>
      </c>
      <c r="J14" s="31" t="s">
        <v>35</v>
      </c>
    </row>
    <row r="15" ht="22.5" customHeight="1">
      <c r="B15" s="20" t="s">
        <v>36</v>
      </c>
      <c r="C15" s="21" t="s">
        <v>37</v>
      </c>
      <c r="D15" s="21" t="s">
        <v>38</v>
      </c>
      <c r="E15" s="22">
        <v>5.0</v>
      </c>
      <c r="F15" s="23">
        <v>1.14</v>
      </c>
      <c r="G15" s="23">
        <v>4.55</v>
      </c>
      <c r="H15" s="24">
        <f t="shared" si="1"/>
        <v>5.7</v>
      </c>
      <c r="I15" s="24">
        <f t="shared" si="2"/>
        <v>22.75</v>
      </c>
      <c r="J15" s="25" t="s">
        <v>39</v>
      </c>
    </row>
    <row r="16" ht="22.5" customHeight="1">
      <c r="B16" s="26" t="s">
        <v>40</v>
      </c>
      <c r="C16" s="27" t="s">
        <v>41</v>
      </c>
      <c r="D16" s="27" t="s">
        <v>42</v>
      </c>
      <c r="E16" s="28">
        <v>5.0</v>
      </c>
      <c r="F16" s="29">
        <v>0.05</v>
      </c>
      <c r="G16" s="29">
        <v>0.5</v>
      </c>
      <c r="H16" s="30">
        <f t="shared" si="1"/>
        <v>0.25</v>
      </c>
      <c r="I16" s="30">
        <f t="shared" si="2"/>
        <v>2.5</v>
      </c>
      <c r="J16" s="31" t="s">
        <v>43</v>
      </c>
    </row>
    <row r="17" ht="22.5" customHeight="1">
      <c r="B17" s="20" t="s">
        <v>44</v>
      </c>
      <c r="C17" s="21" t="s">
        <v>45</v>
      </c>
      <c r="D17" s="21" t="s">
        <v>46</v>
      </c>
      <c r="E17" s="22">
        <v>5.0</v>
      </c>
      <c r="F17" s="23">
        <v>9.09</v>
      </c>
      <c r="G17" s="23">
        <v>10.0</v>
      </c>
      <c r="H17" s="24">
        <f t="shared" si="1"/>
        <v>45.45</v>
      </c>
      <c r="I17" s="24">
        <f t="shared" si="2"/>
        <v>50</v>
      </c>
      <c r="J17" s="25" t="s">
        <v>47</v>
      </c>
    </row>
    <row r="18" ht="22.5" customHeight="1">
      <c r="B18" s="32" t="s">
        <v>48</v>
      </c>
      <c r="C18" s="33" t="s">
        <v>49</v>
      </c>
      <c r="D18" s="33" t="s">
        <v>50</v>
      </c>
      <c r="E18" s="34">
        <v>5.0</v>
      </c>
      <c r="F18" s="35">
        <v>0.0</v>
      </c>
      <c r="G18" s="35">
        <v>0.01</v>
      </c>
      <c r="H18" s="36">
        <f t="shared" si="1"/>
        <v>0</v>
      </c>
      <c r="I18" s="36">
        <f t="shared" si="2"/>
        <v>0.05</v>
      </c>
      <c r="J18" s="37" t="s">
        <v>51</v>
      </c>
    </row>
    <row r="19" ht="22.5" customHeight="1">
      <c r="B19" s="38" t="s">
        <v>52</v>
      </c>
      <c r="C19" s="39" t="s">
        <v>53</v>
      </c>
      <c r="D19" s="39" t="s">
        <v>54</v>
      </c>
      <c r="E19" s="40">
        <v>5.0</v>
      </c>
      <c r="F19" s="41">
        <f t="shared" ref="F19:I19" si="3">SUM(F10:F18)</f>
        <v>20.33</v>
      </c>
      <c r="G19" s="41">
        <f t="shared" si="3"/>
        <v>34.86</v>
      </c>
      <c r="H19" s="42">
        <f t="shared" si="3"/>
        <v>101.65</v>
      </c>
      <c r="I19" s="42">
        <f t="shared" si="3"/>
        <v>174.3</v>
      </c>
      <c r="J19" s="43" t="s">
        <v>55</v>
      </c>
    </row>
    <row r="20" ht="12.0" customHeight="1"/>
    <row r="21" ht="21.0" customHeight="1">
      <c r="B21" s="7" t="s">
        <v>56</v>
      </c>
      <c r="C21" s="8"/>
      <c r="D21" s="8"/>
      <c r="E21" s="8"/>
      <c r="F21" s="8"/>
      <c r="G21" s="8"/>
      <c r="H21" s="9"/>
    </row>
    <row r="22" ht="27.0" customHeight="1">
      <c r="B22" s="44" t="s">
        <v>57</v>
      </c>
      <c r="C22" s="11" t="s">
        <v>58</v>
      </c>
      <c r="D22" s="12" t="s">
        <v>59</v>
      </c>
      <c r="E22" s="12" t="s">
        <v>60</v>
      </c>
      <c r="F22" s="12" t="s">
        <v>61</v>
      </c>
      <c r="G22" s="12" t="s">
        <v>62</v>
      </c>
      <c r="H22" s="45" t="s">
        <v>63</v>
      </c>
    </row>
    <row r="23" ht="22.5" customHeight="1">
      <c r="B23" s="46" t="s">
        <v>64</v>
      </c>
      <c r="C23" s="47" t="s">
        <v>65</v>
      </c>
      <c r="D23" s="48">
        <f t="shared" ref="D23:E23" si="4">F19</f>
        <v>20.33</v>
      </c>
      <c r="E23" s="48">
        <f t="shared" si="4"/>
        <v>34.86</v>
      </c>
      <c r="F23" s="48">
        <f>G19</f>
        <v>34.86</v>
      </c>
      <c r="G23" s="49" t="s">
        <v>66</v>
      </c>
      <c r="H23" s="50" t="s">
        <v>67</v>
      </c>
    </row>
    <row r="24" ht="22.5" customHeight="1">
      <c r="B24" s="51" t="s">
        <v>68</v>
      </c>
      <c r="C24" s="52" t="s">
        <v>69</v>
      </c>
      <c r="D24" s="53">
        <v>4.2</v>
      </c>
      <c r="E24" s="53">
        <v>6.0</v>
      </c>
      <c r="F24" s="53">
        <v>6.0</v>
      </c>
      <c r="G24" s="54" t="s">
        <v>70</v>
      </c>
      <c r="H24" s="55" t="s">
        <v>71</v>
      </c>
    </row>
    <row r="25" ht="22.5" customHeight="1">
      <c r="B25" s="56" t="s">
        <v>72</v>
      </c>
      <c r="C25" s="57" t="s">
        <v>73</v>
      </c>
      <c r="D25" s="58">
        <f t="shared" ref="D25:F25" si="5">D23+D24</f>
        <v>24.53</v>
      </c>
      <c r="E25" s="58">
        <f t="shared" si="5"/>
        <v>40.86</v>
      </c>
      <c r="F25" s="58">
        <f t="shared" si="5"/>
        <v>40.86</v>
      </c>
      <c r="G25" s="59" t="s">
        <v>74</v>
      </c>
      <c r="H25" s="60" t="s">
        <v>75</v>
      </c>
    </row>
    <row r="26" ht="22.5" customHeight="1">
      <c r="B26" s="51" t="s">
        <v>76</v>
      </c>
      <c r="C26" s="52" t="s">
        <v>77</v>
      </c>
      <c r="D26" s="61">
        <f t="shared" ref="D26:E26" si="6">(9-5)*D23 + 9*D24</f>
        <v>119.12</v>
      </c>
      <c r="E26" s="61">
        <f t="shared" si="6"/>
        <v>193.44</v>
      </c>
      <c r="F26" s="62">
        <v>315.98</v>
      </c>
      <c r="G26" s="54" t="s">
        <v>78</v>
      </c>
      <c r="H26" s="55" t="s">
        <v>79</v>
      </c>
    </row>
    <row r="27" ht="22.5" customHeight="1">
      <c r="B27" s="63" t="s">
        <v>80</v>
      </c>
      <c r="C27" s="64" t="s">
        <v>81</v>
      </c>
      <c r="D27" s="65">
        <f t="shared" ref="D27:E27" si="7">9*D25</f>
        <v>220.77</v>
      </c>
      <c r="E27" s="65">
        <f t="shared" si="7"/>
        <v>367.74</v>
      </c>
      <c r="F27" s="65">
        <f>12*F25</f>
        <v>490.32</v>
      </c>
      <c r="G27" s="66" t="s">
        <v>82</v>
      </c>
      <c r="H27" s="67" t="s">
        <v>83</v>
      </c>
    </row>
  </sheetData>
  <mergeCells count="12">
    <mergeCell ref="F5:G5"/>
    <mergeCell ref="H5:I5"/>
    <mergeCell ref="H6:I6"/>
    <mergeCell ref="B8:J8"/>
    <mergeCell ref="B21:H21"/>
    <mergeCell ref="B2:J2"/>
    <mergeCell ref="B3:J3"/>
    <mergeCell ref="B5:C5"/>
    <mergeCell ref="B6:C6"/>
    <mergeCell ref="D5:E5"/>
    <mergeCell ref="D6:E6"/>
    <mergeCell ref="F6:G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